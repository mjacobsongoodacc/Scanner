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maxjacobson/Desktop/"/>
    </mc:Choice>
  </mc:AlternateContent>
  <xr:revisionPtr revIDLastSave="0" documentId="8_{3DF1A764-29BB-5C4C-8B02-9CEE3E003CD5}" xr6:coauthVersionLast="47" xr6:coauthVersionMax="47" xr10:uidLastSave="{00000000-0000-0000-0000-000000000000}"/>
  <bookViews>
    <workbookView xWindow="0" yWindow="1640" windowWidth="28800" windowHeight="16500" xr2:uid="{00000000-000D-0000-FFFF-FFFF00000000}"/>
  </bookViews>
  <sheets>
    <sheet name="Arbitrage Calc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E10" i="1"/>
  <c r="D10" i="1"/>
  <c r="F11" i="1" l="1"/>
  <c r="G11" i="1" s="1"/>
  <c r="F10" i="1"/>
  <c r="B24" i="1" l="1"/>
  <c r="B26" i="1" s="1"/>
  <c r="B16" i="1"/>
  <c r="B18" i="1" s="1"/>
  <c r="G10" i="1"/>
  <c r="B15" i="1" s="1"/>
  <c r="B23" i="1"/>
  <c r="B25" i="1" s="1"/>
  <c r="B14" i="1"/>
  <c r="B19" i="1" s="1"/>
  <c r="B27" i="1" l="1"/>
  <c r="B17" i="1"/>
  <c r="B2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6" authorId="0" shapeId="0" xr:uid="{00000000-0006-0000-0000-000001000000}">
      <text>
        <r>
          <rPr>
            <sz val="11"/>
            <color rgb="FF000000"/>
            <rFont val="Calibri"/>
            <family val="2"/>
          </rPr>
          <t>Change this amount to size the bets on X and Y.</t>
        </r>
      </text>
    </comment>
  </commentList>
</comments>
</file>

<file path=xl/sharedStrings.xml><?xml version="1.0" encoding="utf-8"?>
<sst xmlns="http://schemas.openxmlformats.org/spreadsheetml/2006/main" count="30" uniqueCount="30">
  <si>
    <t>Sports Arbitrage Calculator</t>
  </si>
  <si>
    <t>Enter the American odds for each book using the sketch's setup:
• X = underdog: enter the positive line value (example: +130 → 130)
• Y = favorite: enter the absolute value of the negative line (example: -145 → 145)
The sheet converts to decimal odds, picks the better book for each side, checks the arbitrage formulas, and sizes bets.</t>
  </si>
  <si>
    <t>Total Stake</t>
  </si>
  <si>
    <t>Input cells are blue/yellow</t>
  </si>
  <si>
    <t>1) Input Odds and Decimal Conversion</t>
  </si>
  <si>
    <t>Team / Side</t>
  </si>
  <si>
    <t>Best Decimal</t>
  </si>
  <si>
    <t>Best Book</t>
  </si>
  <si>
    <t>Underdog X (+)</t>
  </si>
  <si>
    <t>Favorite Y (- magnitude)</t>
  </si>
  <si>
    <t>2) Arbitrage Checks</t>
  </si>
  <si>
    <t>Selected Decimal Sum</t>
  </si>
  <si>
    <t>Different Books?</t>
  </si>
  <si>
    <t>Implied Probability Sum</t>
  </si>
  <si>
    <t>Arbitrage Works? (1/oddsX + 1/oddsY &lt; 1)</t>
  </si>
  <si>
    <t>ROI (per sketch: 1 - implied sum)</t>
  </si>
  <si>
    <t>Quick Screen: Selected Decimal Sum &gt; 4.0</t>
  </si>
  <si>
    <t>Final Eligible Setup</t>
  </si>
  <si>
    <t>3) Bet Sizing</t>
  </si>
  <si>
    <t>Bet Amount on X</t>
  </si>
  <si>
    <t>Bet Amount on Y</t>
  </si>
  <si>
    <t>Payout if X Wins</t>
  </si>
  <si>
    <t>Payout if Y Wins</t>
  </si>
  <si>
    <t>Guaranteed Profit</t>
  </si>
  <si>
    <t>4) Notes</t>
  </si>
  <si>
    <t>This layout mirrors your sketch:
• Decimal conversion: underdog X = American/100 + 1; favorite Y = 100/American + 1
• Exact arbitrage check: 1/oddsX + 1/oddsY &lt; 1
• Bet split uses a $100 example by default, but Total Stake can be edited.</t>
  </si>
  <si>
    <t>ParlaySuite</t>
  </si>
  <si>
    <t>Kalshi</t>
  </si>
  <si>
    <t>Parlaysuite Decimal</t>
  </si>
  <si>
    <t>Kalshi Decimal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</si>
</sst>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.00;[Red]\(\$#,##0.00\);\-"/>
    <numFmt numFmtId="165" formatCode="0.000"/>
    <numFmt numFmtId="166" formatCode="0.0000"/>
    <numFmt numFmtId="167" formatCode="0.0%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00FF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9FB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D9EAD3"/>
      </patternFill>
    </fill>
    <fill>
      <patternFill patternType="solid">
        <fgColor rgb="FFEADCF8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C9D0D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0" borderId="0" xfId="0" applyFont="1"/>
    <xf numFmtId="164" fontId="4" fillId="4" borderId="0" xfId="0" applyNumberFormat="1" applyFont="1" applyFill="1"/>
    <xf numFmtId="0" fontId="9" fillId="0" borderId="0" xfId="0" applyFont="1"/>
    <xf numFmtId="0" fontId="6" fillId="5" borderId="1" xfId="0" applyFont="1" applyFill="1" applyBorder="1" applyAlignment="1">
      <alignment horizontal="center"/>
    </xf>
    <xf numFmtId="0" fontId="3" fillId="0" borderId="1" xfId="0" applyFont="1" applyBorder="1"/>
    <xf numFmtId="1" fontId="7" fillId="4" borderId="1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165" fontId="0" fillId="7" borderId="1" xfId="0" applyNumberForma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49" fontId="0" fillId="8" borderId="1" xfId="0" applyNumberFormat="1" applyFill="1" applyBorder="1" applyAlignment="1">
      <alignment horizontal="center"/>
    </xf>
    <xf numFmtId="166" fontId="0" fillId="6" borderId="1" xfId="0" applyNumberFormat="1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7" borderId="1" xfId="0" applyNumberFormat="1" applyFill="1" applyBorder="1" applyAlignment="1">
      <alignment horizontal="center"/>
    </xf>
    <xf numFmtId="164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 applyAlignment="1">
      <alignment horizontal="center"/>
    </xf>
    <xf numFmtId="0" fontId="5" fillId="2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vertical="top" wrapText="1"/>
    </xf>
    <xf numFmtId="0" fontId="2" fillId="3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558800</xdr:colOff>
      <xdr:row>62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A2555548-13FB-3311-C93F-591B46F0FF2C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showGridLines="0" tabSelected="1" workbookViewId="0">
      <selection activeCell="B10" sqref="B10"/>
    </sheetView>
  </sheetViews>
  <sheetFormatPr baseColWidth="10" defaultColWidth="8.83203125" defaultRowHeight="15" x14ac:dyDescent="0.2"/>
  <cols>
    <col min="1" max="1" width="28" customWidth="1"/>
    <col min="2" max="5" width="15" customWidth="1"/>
    <col min="6" max="7" width="18" customWidth="1"/>
  </cols>
  <sheetData>
    <row r="1" spans="1:7" ht="24" customHeight="1" x14ac:dyDescent="0.2">
      <c r="A1" s="22" t="s">
        <v>0</v>
      </c>
      <c r="B1" s="21"/>
      <c r="C1" s="21"/>
      <c r="D1" s="21"/>
      <c r="E1" s="21"/>
      <c r="F1" s="21"/>
      <c r="G1" s="21"/>
    </row>
    <row r="2" spans="1:7" ht="26" customHeight="1" x14ac:dyDescent="0.2">
      <c r="A2" s="24" t="s">
        <v>1</v>
      </c>
      <c r="B2" s="21"/>
      <c r="C2" s="21"/>
      <c r="D2" s="21"/>
      <c r="E2" s="21"/>
      <c r="F2" s="21"/>
      <c r="G2" s="21"/>
    </row>
    <row r="3" spans="1:7" ht="26" customHeight="1" x14ac:dyDescent="0.2">
      <c r="A3" s="21"/>
      <c r="B3" s="21"/>
      <c r="C3" s="21"/>
      <c r="D3" s="21"/>
      <c r="E3" s="21"/>
      <c r="F3" s="21"/>
      <c r="G3" s="21"/>
    </row>
    <row r="4" spans="1:7" ht="26" customHeight="1" x14ac:dyDescent="0.2">
      <c r="A4" s="21"/>
      <c r="B4" s="21"/>
      <c r="C4" s="21"/>
      <c r="D4" s="21"/>
      <c r="E4" s="21"/>
      <c r="F4" s="21"/>
      <c r="G4" s="21"/>
    </row>
    <row r="6" spans="1:7" x14ac:dyDescent="0.2">
      <c r="A6" s="1" t="s">
        <v>2</v>
      </c>
      <c r="B6" s="2">
        <v>50</v>
      </c>
      <c r="F6" s="3" t="s">
        <v>3</v>
      </c>
    </row>
    <row r="8" spans="1:7" x14ac:dyDescent="0.2">
      <c r="A8" s="20" t="s">
        <v>4</v>
      </c>
      <c r="B8" s="21"/>
      <c r="C8" s="21"/>
      <c r="D8" s="21"/>
      <c r="E8" s="21"/>
      <c r="F8" s="21"/>
      <c r="G8" s="21"/>
    </row>
    <row r="9" spans="1:7" x14ac:dyDescent="0.2">
      <c r="A9" s="4" t="s">
        <v>5</v>
      </c>
      <c r="B9" s="4" t="s">
        <v>26</v>
      </c>
      <c r="C9" s="4" t="s">
        <v>27</v>
      </c>
      <c r="D9" s="4" t="s">
        <v>28</v>
      </c>
      <c r="E9" s="4" t="s">
        <v>29</v>
      </c>
      <c r="F9" s="4" t="s">
        <v>6</v>
      </c>
      <c r="G9" s="4" t="s">
        <v>7</v>
      </c>
    </row>
    <row r="10" spans="1:7" x14ac:dyDescent="0.2">
      <c r="A10" s="5" t="s">
        <v>8</v>
      </c>
      <c r="B10" s="6"/>
      <c r="C10" s="6"/>
      <c r="D10" s="7" t="str">
        <f>IF(B10="","",B10/100+1)</f>
        <v/>
      </c>
      <c r="E10" s="7" t="str">
        <f>IF(C10="","",C10/100+1)</f>
        <v/>
      </c>
      <c r="F10" s="8">
        <f>IF(COUNTA(D10:E10)=0,"",MAX(D10:E10))</f>
        <v>0</v>
      </c>
      <c r="G10" s="9" t="str">
        <f>IF(F10="","",IF(D10=E10,"Tie",IF(D10&gt;E10,"Book A","Book B")))</f>
        <v>Tie</v>
      </c>
    </row>
    <row r="11" spans="1:7" x14ac:dyDescent="0.2">
      <c r="A11" s="5" t="s">
        <v>9</v>
      </c>
      <c r="B11" s="6"/>
      <c r="C11" s="6"/>
      <c r="D11" s="7" t="str">
        <f>IF(B11="","",100/B11+1)</f>
        <v/>
      </c>
      <c r="E11" s="7" t="str">
        <f>IF(C11="","",100/C11+1)</f>
        <v/>
      </c>
      <c r="F11" s="8">
        <f>IF(COUNTA(D11:E11)=0,"",MAX(D11:E11))</f>
        <v>0</v>
      </c>
      <c r="G11" s="9" t="str">
        <f>IF(F11="","",IF(D11=E11,"Tie",IF(D11&gt;E11,"Book A","Book B")))</f>
        <v>Tie</v>
      </c>
    </row>
    <row r="12" spans="1:7" x14ac:dyDescent="0.2">
      <c r="A12" s="10"/>
      <c r="B12" s="10"/>
      <c r="C12" s="10"/>
      <c r="D12" s="10"/>
      <c r="E12" s="10"/>
      <c r="F12" s="10"/>
      <c r="G12" s="10"/>
    </row>
    <row r="13" spans="1:7" x14ac:dyDescent="0.2">
      <c r="A13" s="20" t="s">
        <v>10</v>
      </c>
      <c r="B13" s="21"/>
      <c r="C13" s="21"/>
      <c r="D13" s="21"/>
      <c r="E13" s="21"/>
      <c r="F13" s="21"/>
      <c r="G13" s="21"/>
    </row>
    <row r="14" spans="1:7" x14ac:dyDescent="0.2">
      <c r="A14" s="11" t="s">
        <v>11</v>
      </c>
      <c r="B14" s="7">
        <f>IF(COUNTA(F10:F11)&lt;2,"",SUM(F10:F11))</f>
        <v>0</v>
      </c>
      <c r="C14" s="10"/>
      <c r="D14" s="10"/>
      <c r="E14" s="10"/>
      <c r="F14" s="10"/>
      <c r="G14" s="10"/>
    </row>
    <row r="15" spans="1:7" x14ac:dyDescent="0.2">
      <c r="A15" s="12" t="s">
        <v>12</v>
      </c>
      <c r="B15" s="13" t="str">
        <f>IF(OR(G10="",G11=""),"",IF(AND(G10&lt;&gt;"Tie",G11&lt;&gt;"Tie",G10&lt;&gt;G11),"Yes","No"))</f>
        <v>No</v>
      </c>
      <c r="C15" s="10"/>
      <c r="D15" s="10"/>
      <c r="E15" s="10"/>
      <c r="F15" s="10"/>
      <c r="G15" s="10"/>
    </row>
    <row r="16" spans="1:7" x14ac:dyDescent="0.2">
      <c r="A16" s="12" t="s">
        <v>13</v>
      </c>
      <c r="B16" s="14" t="e">
        <f>IF(COUNTA(F10:F11)&lt;2,"",1/F10+1/F11)</f>
        <v>#DIV/0!</v>
      </c>
      <c r="C16" s="10"/>
      <c r="D16" s="10"/>
      <c r="E16" s="10"/>
      <c r="F16" s="10"/>
      <c r="G16" s="10"/>
    </row>
    <row r="17" spans="1:7" x14ac:dyDescent="0.2">
      <c r="A17" s="12" t="s">
        <v>14</v>
      </c>
      <c r="B17" s="13" t="e">
        <f>IF(B16="","",IF(B16&lt;1,"Yes","No"))</f>
        <v>#DIV/0!</v>
      </c>
      <c r="C17" s="10"/>
      <c r="D17" s="10"/>
      <c r="E17" s="10"/>
      <c r="F17" s="10"/>
      <c r="G17" s="10"/>
    </row>
    <row r="18" spans="1:7" x14ac:dyDescent="0.2">
      <c r="A18" s="11" t="s">
        <v>15</v>
      </c>
      <c r="B18" s="15" t="e">
        <f>IF(B16="","",1-B16)</f>
        <v>#DIV/0!</v>
      </c>
      <c r="C18" s="10"/>
      <c r="D18" s="10"/>
      <c r="E18" s="10"/>
      <c r="F18" s="10"/>
      <c r="G18" s="10"/>
    </row>
    <row r="19" spans="1:7" x14ac:dyDescent="0.2">
      <c r="A19" s="12" t="s">
        <v>16</v>
      </c>
      <c r="B19" s="13" t="str">
        <f>IF(B14="","",IF(B14&gt;4,"Pass","Fail"))</f>
        <v>Fail</v>
      </c>
      <c r="C19" s="10"/>
      <c r="D19" s="10"/>
      <c r="E19" s="10"/>
      <c r="F19" s="10"/>
      <c r="G19" s="10"/>
    </row>
    <row r="20" spans="1:7" x14ac:dyDescent="0.2">
      <c r="A20" s="11" t="s">
        <v>17</v>
      </c>
      <c r="B20" s="13" t="e">
        <f>IF(OR(B15="",B17=""),"",IF(AND(B15="Yes",B17="Yes"),"Yes","No"))</f>
        <v>#DIV/0!</v>
      </c>
      <c r="C20" s="10"/>
      <c r="D20" s="10"/>
      <c r="E20" s="10"/>
      <c r="F20" s="10"/>
      <c r="G20" s="10"/>
    </row>
    <row r="21" spans="1:7" x14ac:dyDescent="0.2">
      <c r="A21" s="16"/>
      <c r="B21" s="10"/>
      <c r="C21" s="10"/>
      <c r="D21" s="10"/>
      <c r="E21" s="10"/>
      <c r="F21" s="10"/>
      <c r="G21" s="10"/>
    </row>
    <row r="22" spans="1:7" x14ac:dyDescent="0.2">
      <c r="A22" s="20" t="s">
        <v>18</v>
      </c>
      <c r="B22" s="21"/>
      <c r="C22" s="21"/>
      <c r="D22" s="21"/>
      <c r="E22" s="21"/>
      <c r="F22" s="21"/>
      <c r="G22" s="21"/>
    </row>
    <row r="23" spans="1:7" x14ac:dyDescent="0.2">
      <c r="A23" s="12" t="s">
        <v>19</v>
      </c>
      <c r="B23" s="17" t="e">
        <f>IF(OR(B6="",COUNTA(F10:F11)&lt;2),"",((1/F10)/((1/F10)+(1/F11)))*B6)</f>
        <v>#DIV/0!</v>
      </c>
      <c r="C23" s="10"/>
      <c r="D23" s="10"/>
      <c r="E23" s="10"/>
      <c r="F23" s="10"/>
      <c r="G23" s="10"/>
    </row>
    <row r="24" spans="1:7" x14ac:dyDescent="0.2">
      <c r="A24" s="12" t="s">
        <v>20</v>
      </c>
      <c r="B24" s="17" t="e">
        <f>IF(OR(B6="",COUNTA(F10:F11)&lt;2),"",((1/F11)/((1/F10)+(1/F11)))*B6)</f>
        <v>#DIV/0!</v>
      </c>
      <c r="C24" s="10"/>
      <c r="D24" s="10"/>
      <c r="E24" s="10"/>
      <c r="F24" s="10"/>
      <c r="G24" s="10"/>
    </row>
    <row r="25" spans="1:7" x14ac:dyDescent="0.2">
      <c r="A25" s="12" t="s">
        <v>21</v>
      </c>
      <c r="B25" s="18" t="e">
        <f>IF(B23="","",B23*F10)</f>
        <v>#DIV/0!</v>
      </c>
      <c r="C25" s="10"/>
      <c r="D25" s="10"/>
      <c r="E25" s="10"/>
      <c r="F25" s="10"/>
      <c r="G25" s="10"/>
    </row>
    <row r="26" spans="1:7" x14ac:dyDescent="0.2">
      <c r="A26" s="12" t="s">
        <v>22</v>
      </c>
      <c r="B26" s="18" t="e">
        <f>IF(B24="","",B24*F11)</f>
        <v>#DIV/0!</v>
      </c>
      <c r="C26" s="10"/>
      <c r="D26" s="10"/>
      <c r="E26" s="10"/>
      <c r="F26" s="10"/>
      <c r="G26" s="10"/>
    </row>
    <row r="27" spans="1:7" x14ac:dyDescent="0.2">
      <c r="A27" s="11" t="s">
        <v>23</v>
      </c>
      <c r="B27" s="19" t="e">
        <f>IF(OR(B25="",B26=""),"",MIN(B25,B26)-B6)</f>
        <v>#DIV/0!</v>
      </c>
      <c r="C27" s="10"/>
      <c r="D27" s="10"/>
      <c r="E27" s="10"/>
      <c r="F27" s="10"/>
      <c r="G27" s="10"/>
    </row>
    <row r="29" spans="1:7" x14ac:dyDescent="0.2">
      <c r="A29" s="20" t="s">
        <v>24</v>
      </c>
      <c r="B29" s="21"/>
      <c r="C29" s="21"/>
      <c r="D29" s="21"/>
      <c r="E29" s="21"/>
      <c r="F29" s="21"/>
      <c r="G29" s="21"/>
    </row>
    <row r="30" spans="1:7" ht="22" customHeight="1" x14ac:dyDescent="0.2">
      <c r="A30" s="23" t="s">
        <v>25</v>
      </c>
      <c r="B30" s="21"/>
      <c r="C30" s="21"/>
      <c r="D30" s="21"/>
      <c r="E30" s="21"/>
      <c r="F30" s="21"/>
      <c r="G30" s="21"/>
    </row>
    <row r="31" spans="1:7" ht="22" customHeight="1" x14ac:dyDescent="0.2">
      <c r="A31" s="21"/>
      <c r="B31" s="21"/>
      <c r="C31" s="21"/>
      <c r="D31" s="21"/>
      <c r="E31" s="21"/>
      <c r="F31" s="21"/>
      <c r="G31" s="21"/>
    </row>
    <row r="32" spans="1:7" ht="22" customHeight="1" x14ac:dyDescent="0.2">
      <c r="A32" s="21"/>
      <c r="B32" s="21"/>
      <c r="C32" s="21"/>
      <c r="D32" s="21"/>
      <c r="E32" s="21"/>
      <c r="F32" s="21"/>
      <c r="G32" s="21"/>
    </row>
  </sheetData>
  <mergeCells count="7">
    <mergeCell ref="A13:G13"/>
    <mergeCell ref="A1:G1"/>
    <mergeCell ref="A8:G8"/>
    <mergeCell ref="A30:G32"/>
    <mergeCell ref="A22:G22"/>
    <mergeCell ref="A2:G4"/>
    <mergeCell ref="A29:G29"/>
  </mergeCells>
  <dataValidations count="1">
    <dataValidation type="decimal" operator="greaterThan" allowBlank="1" sqref="B10:C11" xr:uid="{00000000-0002-0000-0000-000000000000}">
      <formula1>0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Jacobson, Max M</cp:lastModifiedBy>
  <dcterms:created xsi:type="dcterms:W3CDTF">2026-03-09T09:02:35Z</dcterms:created>
  <dcterms:modified xsi:type="dcterms:W3CDTF">2026-03-09T09:02:36Z</dcterms:modified>
</cp:coreProperties>
</file>